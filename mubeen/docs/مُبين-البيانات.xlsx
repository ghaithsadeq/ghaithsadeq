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طلبة" sheetId="1" state="visible" r:id="rId1"/>
    <sheet xmlns:r="http://schemas.openxmlformats.org/officeDocument/2006/relationships" name="الصفوف" sheetId="2" state="visible" r:id="rId2"/>
    <sheet xmlns:r="http://schemas.openxmlformats.org/officeDocument/2006/relationships" name="العائلات" sheetId="3" state="visible" r:id="rId3"/>
    <sheet xmlns:r="http://schemas.openxmlformats.org/officeDocument/2006/relationships" name="القياسات" sheetId="4" state="visible" r:id="rId4"/>
    <sheet xmlns:r="http://schemas.openxmlformats.org/officeDocument/2006/relationships" name="نموذج الأثر" sheetId="5" state="visible" r:id="rId5"/>
    <sheet xmlns:r="http://schemas.openxmlformats.org/officeDocument/2006/relationships" name="قائمة التحقّ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8A6A1F"/>
      <sz val="18"/>
    </font>
    <font>
      <name val="Arial"/>
      <color rgb="00666666"/>
      <sz val="10"/>
    </font>
    <font>
      <name val="Arial"/>
      <b val="1"/>
      <color rgb="001A1A22"/>
      <sz val="11"/>
    </font>
    <font>
      <name val="Arial"/>
      <color rgb="001A1A22"/>
      <sz val="10.5"/>
    </font>
    <font>
      <name val="Arial"/>
      <b val="1"/>
      <color rgb="00B3303B"/>
      <sz val="11"/>
    </font>
    <font>
      <name val="Arial"/>
      <b val="1"/>
      <color rgb="008A6A1F"/>
      <sz val="11"/>
    </font>
    <font>
      <name val="Arial"/>
      <b val="1"/>
      <color rgb="0017805C"/>
      <sz val="11"/>
    </font>
    <font>
      <name val="Arial"/>
      <b val="1"/>
      <sz val="11"/>
    </font>
    <font>
      <name val="Arial"/>
      <b val="1"/>
      <color rgb="00B3303B"/>
      <sz val="10"/>
    </font>
    <font>
      <name val="Arial"/>
      <b val="1"/>
      <color rgb="001F5F8A"/>
      <sz val="10"/>
    </font>
    <font>
      <name val="Arial"/>
      <b val="1"/>
      <color rgb="0017805C"/>
      <sz val="10"/>
    </font>
    <font>
      <name val="Arial"/>
      <b val="1"/>
      <color rgb="008A6A1F"/>
      <sz val="10"/>
    </font>
  </fonts>
  <fills count="8">
    <fill>
      <patternFill/>
    </fill>
    <fill>
      <patternFill patternType="gray125"/>
    </fill>
    <fill>
      <patternFill patternType="solid">
        <fgColor rgb="00F3E7CB"/>
      </patternFill>
    </fill>
    <fill>
      <patternFill patternType="solid">
        <fgColor rgb="00FAFAFA"/>
      </patternFill>
    </fill>
    <fill>
      <patternFill patternType="solid">
        <fgColor rgb="00FBECEE"/>
      </patternFill>
    </fill>
    <fill>
      <patternFill patternType="solid">
        <fgColor rgb="00E8F5EF"/>
      </patternFill>
    </fill>
    <fill>
      <patternFill patternType="solid">
        <fgColor rgb="00FBF3E2"/>
      </patternFill>
    </fill>
    <fill>
      <patternFill patternType="solid">
        <fgColor rgb="00E9F1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6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right" vertical="center" wrapText="1"/>
    </xf>
    <xf numFmtId="0" fontId="6" fillId="0" borderId="0" pivotButton="0" quotePrefix="0" xfId="0"/>
    <xf numFmtId="0" fontId="5" fillId="0" borderId="0" pivotButton="0" quotePrefix="0" xfId="0"/>
    <xf numFmtId="9" fontId="6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0" fontId="11" fillId="5" borderId="0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center" vertical="center"/>
    </xf>
    <xf numFmtId="0" fontId="12" fillId="6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متوسّط مؤشّر البيان بحسب الصفّ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'الصفوف'!F4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'الصفوف'!$A$5:$A$7</f>
            </numRef>
          </cat>
          <val>
            <numRef>
              <f>'الصفوف'!$F$5:$F$7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المؤشّر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عدد الأخطاء بحسب العائلة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'العائلات'!C4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'العائلات'!$A$5:$A$14</f>
            </numRef>
          </cat>
          <val>
            <numRef>
              <f>'العائلات'!$C$5:$C$14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21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9" customWidth="1" min="3" max="3"/>
    <col width="10" customWidth="1" min="4" max="4"/>
    <col width="12" customWidth="1" min="5" max="5"/>
    <col width="12" customWidth="1" min="6" max="6"/>
    <col width="1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6" customHeight="1">
      <c r="A1" s="1" t="inlineStr">
        <is>
          <t>مُبين — نتائج الطلبة</t>
        </is>
      </c>
    </row>
    <row r="2" ht="16" customHeight="1">
      <c r="A2" s="2" t="inlineStr">
        <is>
          <t>كلّ رقم محسوب فعلياً بمحرّك مُبين من نصوص النموذج · GEN CODE TEAM</t>
        </is>
      </c>
    </row>
    <row r="4" ht="30" customHeight="1">
      <c r="A4" s="3" t="inlineStr">
        <is>
          <t>الطالب</t>
        </is>
      </c>
      <c r="B4" s="3" t="inlineStr">
        <is>
          <t>الصفّ</t>
        </is>
      </c>
      <c r="C4" s="3" t="inlineStr">
        <is>
          <t>الكلمات</t>
        </is>
      </c>
      <c r="D4" s="3" t="inlineStr">
        <is>
          <t>الملاحظات</t>
        </is>
      </c>
      <c r="E4" s="3" t="inlineStr">
        <is>
          <t>لكلّ 100 كلمة</t>
        </is>
      </c>
      <c r="F4" s="3" t="inlineStr">
        <is>
          <t>مؤشّر البيان</t>
        </is>
      </c>
      <c r="G4" s="3" t="inlineStr">
        <is>
          <t>المستوى</t>
        </is>
      </c>
      <c r="H4" s="3" t="inlineStr">
        <is>
          <t>همزة القطع والوصل</t>
        </is>
      </c>
      <c r="I4" s="3" t="inlineStr">
        <is>
          <t>التاء المربوطة والهاء</t>
        </is>
      </c>
      <c r="J4" s="3" t="inlineStr">
        <is>
          <t>الألف اللينة (ى/ي)</t>
        </is>
      </c>
      <c r="K4" s="3" t="inlineStr">
        <is>
          <t>الضاد والظاء</t>
        </is>
      </c>
      <c r="L4" s="3" t="inlineStr">
        <is>
          <t>الهمزة المتوسطة والمتطرفة</t>
        </is>
      </c>
      <c r="M4" s="3" t="inlineStr">
        <is>
          <t>إملاء شائع</t>
        </is>
      </c>
      <c r="N4" s="3" t="inlineStr">
        <is>
          <t>النحو والإعراب</t>
        </is>
      </c>
      <c r="O4" s="3" t="inlineStr">
        <is>
          <t>العاميّة</t>
        </is>
      </c>
      <c r="P4" s="3" t="inlineStr">
        <is>
          <t>الترقيم</t>
        </is>
      </c>
      <c r="Q4" s="3" t="inlineStr">
        <is>
          <t>الأسلوب</t>
        </is>
      </c>
    </row>
    <row r="5" ht="19" customHeight="1">
      <c r="A5" s="4" t="inlineStr">
        <is>
          <t>سلمى الحوسني</t>
        </is>
      </c>
      <c r="B5" s="5" t="inlineStr">
        <is>
          <t>8-أ</t>
        </is>
      </c>
      <c r="C5" s="5" t="n">
        <v>38</v>
      </c>
      <c r="D5" s="5" t="n">
        <v>12</v>
      </c>
      <c r="E5" s="5" t="n">
        <v>31.6</v>
      </c>
      <c r="F5" s="6" t="n">
        <v>28</v>
      </c>
      <c r="G5" s="5" t="inlineStr">
        <is>
          <t>أولويّة تدخّل</t>
        </is>
      </c>
      <c r="H5" s="5" t="n">
        <v>1</v>
      </c>
      <c r="I5" s="5" t="n">
        <v>3</v>
      </c>
      <c r="J5" s="5" t="n">
        <v>1</v>
      </c>
      <c r="K5" s="5" t="n">
        <v>0</v>
      </c>
      <c r="L5" s="5" t="n">
        <v>0</v>
      </c>
      <c r="M5" s="5" t="n">
        <v>2</v>
      </c>
      <c r="N5" s="5" t="n">
        <v>1</v>
      </c>
      <c r="O5" s="5" t="n">
        <v>2</v>
      </c>
      <c r="P5" s="5" t="n">
        <v>2</v>
      </c>
      <c r="Q5" s="5" t="n">
        <v>0</v>
      </c>
    </row>
    <row r="6" ht="19" customHeight="1">
      <c r="A6" s="7" t="inlineStr">
        <is>
          <t>راشد المرزوقي</t>
        </is>
      </c>
      <c r="B6" s="8" t="inlineStr">
        <is>
          <t>8-أ</t>
        </is>
      </c>
      <c r="C6" s="8" t="n">
        <v>35</v>
      </c>
      <c r="D6" s="8" t="n">
        <v>12</v>
      </c>
      <c r="E6" s="8" t="n">
        <v>34.3</v>
      </c>
      <c r="F6" s="6" t="n">
        <v>25</v>
      </c>
      <c r="G6" s="8" t="inlineStr">
        <is>
          <t>أولويّة تدخّل</t>
        </is>
      </c>
      <c r="H6" s="8" t="n">
        <v>1</v>
      </c>
      <c r="I6" s="8" t="n">
        <v>5</v>
      </c>
      <c r="J6" s="8" t="n">
        <v>1</v>
      </c>
      <c r="K6" s="8" t="n">
        <v>0</v>
      </c>
      <c r="L6" s="8" t="n">
        <v>1</v>
      </c>
      <c r="M6" s="8" t="n">
        <v>1</v>
      </c>
      <c r="N6" s="8" t="n">
        <v>1</v>
      </c>
      <c r="O6" s="8" t="n">
        <v>0</v>
      </c>
      <c r="P6" s="8" t="n">
        <v>2</v>
      </c>
      <c r="Q6" s="8" t="n">
        <v>0</v>
      </c>
    </row>
    <row r="7" ht="19" customHeight="1">
      <c r="A7" s="4" t="inlineStr">
        <is>
          <t>جنى عبدالله</t>
        </is>
      </c>
      <c r="B7" s="5" t="inlineStr">
        <is>
          <t>8-أ</t>
        </is>
      </c>
      <c r="C7" s="5" t="n">
        <v>33</v>
      </c>
      <c r="D7" s="5" t="n">
        <v>6</v>
      </c>
      <c r="E7" s="5" t="n">
        <v>18.2</v>
      </c>
      <c r="F7" s="6" t="n">
        <v>42</v>
      </c>
      <c r="G7" s="5" t="inlineStr">
        <is>
          <t>أولويّة تدخّل</t>
        </is>
      </c>
      <c r="H7" s="5" t="n">
        <v>1</v>
      </c>
      <c r="I7" s="5" t="n">
        <v>3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2</v>
      </c>
      <c r="Q7" s="5" t="n">
        <v>0</v>
      </c>
    </row>
    <row r="8" ht="19" customHeight="1">
      <c r="A8" s="7" t="inlineStr">
        <is>
          <t>عمر الكعبي</t>
        </is>
      </c>
      <c r="B8" s="8" t="inlineStr">
        <is>
          <t>8-أ</t>
        </is>
      </c>
      <c r="C8" s="8" t="n">
        <v>34</v>
      </c>
      <c r="D8" s="8" t="n">
        <v>15</v>
      </c>
      <c r="E8" s="8" t="n">
        <v>44.1</v>
      </c>
      <c r="F8" s="6" t="n">
        <v>22</v>
      </c>
      <c r="G8" s="8" t="inlineStr">
        <is>
          <t>أولويّة تدخّل</t>
        </is>
      </c>
      <c r="H8" s="8" t="n">
        <v>2</v>
      </c>
      <c r="I8" s="8" t="n">
        <v>4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1</v>
      </c>
      <c r="O8" s="8" t="n">
        <v>6</v>
      </c>
      <c r="P8" s="8" t="n">
        <v>2</v>
      </c>
      <c r="Q8" s="8" t="n">
        <v>0</v>
      </c>
    </row>
    <row r="9" ht="19" customHeight="1">
      <c r="A9" s="4" t="inlineStr">
        <is>
          <t>ليان خالد</t>
        </is>
      </c>
      <c r="B9" s="5" t="inlineStr">
        <is>
          <t>9-ب</t>
        </is>
      </c>
      <c r="C9" s="5" t="n">
        <v>36</v>
      </c>
      <c r="D9" s="5" t="n">
        <v>4</v>
      </c>
      <c r="E9" s="5" t="n">
        <v>11.1</v>
      </c>
      <c r="F9" s="9" t="n">
        <v>73</v>
      </c>
      <c r="G9" s="5" t="inlineStr">
        <is>
          <t>جيّد</t>
        </is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4</v>
      </c>
      <c r="Q9" s="5" t="n">
        <v>0</v>
      </c>
    </row>
    <row r="10" ht="19" customHeight="1">
      <c r="A10" s="7" t="inlineStr">
        <is>
          <t>حمدان الكعبي</t>
        </is>
      </c>
      <c r="B10" s="8" t="inlineStr">
        <is>
          <t>9-ب</t>
        </is>
      </c>
      <c r="C10" s="8" t="n">
        <v>34</v>
      </c>
      <c r="D10" s="8" t="n">
        <v>6</v>
      </c>
      <c r="E10" s="8" t="n">
        <v>17.6</v>
      </c>
      <c r="F10" s="6" t="n">
        <v>44</v>
      </c>
      <c r="G10" s="8" t="inlineStr">
        <is>
          <t>أولويّة تدخّل</t>
        </is>
      </c>
      <c r="H10" s="8" t="n">
        <v>0</v>
      </c>
      <c r="I10" s="8" t="n">
        <v>2</v>
      </c>
      <c r="J10" s="8" t="n">
        <v>1</v>
      </c>
      <c r="K10" s="8" t="n">
        <v>0</v>
      </c>
      <c r="L10" s="8" t="n">
        <v>0</v>
      </c>
      <c r="M10" s="8" t="n">
        <v>1</v>
      </c>
      <c r="N10" s="8" t="n">
        <v>0</v>
      </c>
      <c r="O10" s="8" t="n">
        <v>0</v>
      </c>
      <c r="P10" s="8" t="n">
        <v>2</v>
      </c>
      <c r="Q10" s="8" t="n">
        <v>0</v>
      </c>
    </row>
    <row r="11" ht="19" customHeight="1">
      <c r="A11" s="4" t="inlineStr">
        <is>
          <t>مريم الزعابي</t>
        </is>
      </c>
      <c r="B11" s="5" t="inlineStr">
        <is>
          <t>9-ب</t>
        </is>
      </c>
      <c r="C11" s="5" t="n">
        <v>34</v>
      </c>
      <c r="D11" s="5" t="n">
        <v>8</v>
      </c>
      <c r="E11" s="5" t="n">
        <v>23.5</v>
      </c>
      <c r="F11" s="6" t="n">
        <v>36</v>
      </c>
      <c r="G11" s="5" t="inlineStr">
        <is>
          <t>أولويّة تدخّل</t>
        </is>
      </c>
      <c r="H11" s="5" t="n">
        <v>1</v>
      </c>
      <c r="I11" s="5" t="n">
        <v>4</v>
      </c>
      <c r="J11" s="5" t="n">
        <v>0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0</v>
      </c>
      <c r="P11" s="5" t="n">
        <v>2</v>
      </c>
      <c r="Q11" s="5" t="n">
        <v>0</v>
      </c>
    </row>
    <row r="12" ht="19" customHeight="1">
      <c r="A12" s="7" t="inlineStr">
        <is>
          <t>يوسف النقبي</t>
        </is>
      </c>
      <c r="B12" s="8" t="inlineStr">
        <is>
          <t>9-ب</t>
        </is>
      </c>
      <c r="C12" s="8" t="n">
        <v>35</v>
      </c>
      <c r="D12" s="8" t="n">
        <v>6</v>
      </c>
      <c r="E12" s="8" t="n">
        <v>17.1</v>
      </c>
      <c r="F12" s="6" t="n">
        <v>48</v>
      </c>
      <c r="G12" s="8" t="inlineStr">
        <is>
          <t>أولويّة تدخّل</t>
        </is>
      </c>
      <c r="H12" s="8" t="n">
        <v>1</v>
      </c>
      <c r="I12" s="8" t="n">
        <v>1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2</v>
      </c>
      <c r="P12" s="8" t="n">
        <v>2</v>
      </c>
      <c r="Q12" s="8" t="n">
        <v>0</v>
      </c>
    </row>
    <row r="13" ht="19" customHeight="1">
      <c r="A13" s="4" t="inlineStr">
        <is>
          <t>سالم الظنهاني</t>
        </is>
      </c>
      <c r="B13" s="5" t="inlineStr">
        <is>
          <t>10-أ</t>
        </is>
      </c>
      <c r="C13" s="5" t="n">
        <v>41</v>
      </c>
      <c r="D13" s="5" t="n">
        <v>2</v>
      </c>
      <c r="E13" s="5" t="n">
        <v>4.9</v>
      </c>
      <c r="F13" s="10" t="n">
        <v>86</v>
      </c>
      <c r="G13" s="5" t="inlineStr">
        <is>
          <t>مُتمكّن</t>
        </is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2</v>
      </c>
      <c r="Q13" s="5" t="n">
        <v>0</v>
      </c>
    </row>
    <row r="14" ht="19" customHeight="1">
      <c r="A14" s="7" t="inlineStr">
        <is>
          <t>عبدالله الشامسي</t>
        </is>
      </c>
      <c r="B14" s="8" t="inlineStr">
        <is>
          <t>10-أ</t>
        </is>
      </c>
      <c r="C14" s="8" t="n">
        <v>32</v>
      </c>
      <c r="D14" s="8" t="n">
        <v>5</v>
      </c>
      <c r="E14" s="8" t="n">
        <v>15.6</v>
      </c>
      <c r="F14" s="11" t="n">
        <v>50</v>
      </c>
      <c r="G14" s="8" t="inlineStr">
        <is>
          <t>يحتاج تدريباً</t>
        </is>
      </c>
      <c r="H14" s="8" t="n">
        <v>1</v>
      </c>
      <c r="I14" s="8" t="n">
        <v>0</v>
      </c>
      <c r="J14" s="8" t="n">
        <v>2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2</v>
      </c>
      <c r="Q14" s="8" t="n">
        <v>0</v>
      </c>
    </row>
    <row r="15" ht="19" customHeight="1">
      <c r="A15" s="4" t="inlineStr">
        <is>
          <t>نورة السويدي</t>
        </is>
      </c>
      <c r="B15" s="5" t="inlineStr">
        <is>
          <t>10-أ</t>
        </is>
      </c>
      <c r="C15" s="5" t="n">
        <v>42</v>
      </c>
      <c r="D15" s="5" t="n">
        <v>4</v>
      </c>
      <c r="E15" s="5" t="n">
        <v>9.5</v>
      </c>
      <c r="F15" s="11" t="n">
        <v>69</v>
      </c>
      <c r="G15" s="5" t="inlineStr">
        <is>
          <t>يحتاج تدريباً</t>
        </is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3</v>
      </c>
      <c r="Q15" s="5" t="n">
        <v>0</v>
      </c>
    </row>
    <row r="16" ht="19" customHeight="1">
      <c r="A16" s="7" t="inlineStr">
        <is>
          <t>طلال اليماحي</t>
        </is>
      </c>
      <c r="B16" s="8" t="inlineStr">
        <is>
          <t>10-أ</t>
        </is>
      </c>
      <c r="C16" s="8" t="n">
        <v>33</v>
      </c>
      <c r="D16" s="8" t="n">
        <v>10</v>
      </c>
      <c r="E16" s="8" t="n">
        <v>30.3</v>
      </c>
      <c r="F16" s="6" t="n">
        <v>30</v>
      </c>
      <c r="G16" s="8" t="inlineStr">
        <is>
          <t>أولويّة تدخّل</t>
        </is>
      </c>
      <c r="H16" s="8" t="n">
        <v>1</v>
      </c>
      <c r="I16" s="8" t="n">
        <v>2</v>
      </c>
      <c r="J16" s="8" t="n">
        <v>3</v>
      </c>
      <c r="K16" s="8" t="n">
        <v>0</v>
      </c>
      <c r="L16" s="8" t="n">
        <v>1</v>
      </c>
      <c r="M16" s="8" t="n">
        <v>1</v>
      </c>
      <c r="N16" s="8" t="n">
        <v>0</v>
      </c>
      <c r="O16" s="8" t="n">
        <v>0</v>
      </c>
      <c r="P16" s="8" t="n">
        <v>2</v>
      </c>
      <c r="Q16" s="8" t="n">
        <v>0</v>
      </c>
    </row>
    <row r="18">
      <c r="A18" s="12" t="inlineStr">
        <is>
          <t>المتوسّط</t>
        </is>
      </c>
      <c r="C18" s="13">
        <f>ROUND(AVERAGE(C5:C16),1)</f>
        <v/>
      </c>
      <c r="D18" s="13">
        <f>ROUND(AVERAGE(D5:D16),1)</f>
        <v/>
      </c>
      <c r="E18" s="13">
        <f>ROUND(AVERAGE(E5:E16),1)</f>
        <v/>
      </c>
      <c r="F18" s="13">
        <f>ROUND(AVERAGE(F5:F16),1)</f>
        <v/>
      </c>
    </row>
    <row r="20" ht="32" customHeight="1">
      <c r="A20" s="14" t="inlineStr">
        <is>
          <t>ملاحظة: نصوص النموذج من تأليف الفريق وتُحاكي مستويات كتابيّة حقيقيّة — ولا تخصّ طالباً حقيقيّاً واحداً. لا تُستخدم بيانات أشخاص قبل موافقة رسميّة.</t>
        </is>
      </c>
    </row>
  </sheetData>
  <mergeCells count="3">
    <mergeCell ref="A1:P1"/>
    <mergeCell ref="A20:P20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</cols>
  <sheetData>
    <row r="1" ht="26" customHeight="1">
      <c r="A1" s="1" t="inlineStr">
        <is>
          <t>نتائج الصفوف</t>
        </is>
      </c>
    </row>
    <row r="2" ht="16" customHeight="1">
      <c r="A2" s="2" t="inlineStr">
        <is>
          <t>متوسّط مؤشّر البيان وكثافة الملاحظات بحسب الصفّ</t>
        </is>
      </c>
    </row>
    <row r="4" ht="30" customHeight="1">
      <c r="A4" s="3" t="inlineStr">
        <is>
          <t>الصفّ</t>
        </is>
      </c>
      <c r="B4" s="3" t="inlineStr">
        <is>
          <t>عدد الطلبة</t>
        </is>
      </c>
      <c r="C4" s="3" t="inlineStr">
        <is>
          <t>الكلمات</t>
        </is>
      </c>
      <c r="D4" s="3" t="inlineStr">
        <is>
          <t>الملاحظات</t>
        </is>
      </c>
      <c r="E4" s="3" t="inlineStr">
        <is>
          <t>لكلّ 100 كلمة</t>
        </is>
      </c>
      <c r="F4" s="3" t="inlineStr">
        <is>
          <t>متوسّط المؤشّر</t>
        </is>
      </c>
    </row>
    <row r="5" ht="19" customHeight="1">
      <c r="A5" s="5" t="inlineStr">
        <is>
          <t>8-أ</t>
        </is>
      </c>
      <c r="B5" s="5" t="n">
        <v>4</v>
      </c>
      <c r="C5" s="5" t="n">
        <v>140</v>
      </c>
      <c r="D5" s="5" t="n">
        <v>45</v>
      </c>
      <c r="E5" s="5" t="n">
        <v>32.1</v>
      </c>
      <c r="F5" s="5" t="n">
        <v>29</v>
      </c>
    </row>
    <row r="6" ht="19" customHeight="1">
      <c r="A6" s="8" t="inlineStr">
        <is>
          <t>9-ب</t>
        </is>
      </c>
      <c r="B6" s="8" t="n">
        <v>4</v>
      </c>
      <c r="C6" s="8" t="n">
        <v>139</v>
      </c>
      <c r="D6" s="8" t="n">
        <v>24</v>
      </c>
      <c r="E6" s="8" t="n">
        <v>17.3</v>
      </c>
      <c r="F6" s="8" t="n">
        <v>50</v>
      </c>
    </row>
    <row r="7" ht="19" customHeight="1">
      <c r="A7" s="5" t="inlineStr">
        <is>
          <t>10-أ</t>
        </is>
      </c>
      <c r="B7" s="5" t="n">
        <v>4</v>
      </c>
      <c r="C7" s="5" t="n">
        <v>148</v>
      </c>
      <c r="D7" s="5" t="n">
        <v>21</v>
      </c>
      <c r="E7" s="5" t="n">
        <v>14.2</v>
      </c>
      <c r="F7" s="5" t="n">
        <v>59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3" customWidth="1" min="3" max="3"/>
    <col width="17" customWidth="1" min="4" max="4"/>
    <col width="19" customWidth="1" min="5" max="5"/>
    <col width="14" customWidth="1" min="6" max="6"/>
  </cols>
  <sheetData>
    <row r="1" ht="26" customHeight="1">
      <c r="A1" s="1" t="inlineStr">
        <is>
          <t>عائلات القواعد العشر</t>
        </is>
      </c>
    </row>
    <row r="2" ht="16" customHeight="1">
      <c r="A2" s="2" t="inlineStr">
        <is>
          <t>الأوزان قابلة للتعديل — عدّل العمود «الوزن» وستتغيّر الكثافة الموزونة تلقائياً</t>
        </is>
      </c>
    </row>
    <row r="4" ht="30" customHeight="1">
      <c r="A4" s="3" t="inlineStr">
        <is>
          <t>العائلة</t>
        </is>
      </c>
      <c r="B4" s="3" t="inlineStr">
        <is>
          <t>الوزن</t>
        </is>
      </c>
      <c r="C4" s="3" t="inlineStr">
        <is>
          <t>عدد الأخطاء</t>
        </is>
      </c>
      <c r="D4" s="3" t="inlineStr">
        <is>
          <t>الكثافة الموزونة</t>
        </is>
      </c>
      <c r="E4" s="3" t="inlineStr">
        <is>
          <t>درجة إتقان المدرسة</t>
        </is>
      </c>
      <c r="F4" s="3" t="inlineStr">
        <is>
          <t>التقدير</t>
        </is>
      </c>
    </row>
    <row r="5" ht="19" customHeight="1">
      <c r="A5" s="15" t="inlineStr">
        <is>
          <t>همزة القطع والوصل</t>
        </is>
      </c>
      <c r="B5" s="16" t="n">
        <v>3</v>
      </c>
      <c r="C5" s="17" t="n">
        <v>9</v>
      </c>
      <c r="D5" s="17">
        <f>ROUND(B5*C5/427*100,2)</f>
        <v/>
      </c>
      <c r="E5" s="17">
        <f>ROUND(100/(1+D5/12),0)</f>
        <v/>
      </c>
      <c r="F5" s="17">
        <f>IF(E5&gt;=85,"مُتمكّن",IF(E5&gt;=70,"جيّد",IF(E5&gt;=50,"يحتاج تدريباً","أولويّة تدخّل")))</f>
        <v/>
      </c>
    </row>
    <row r="6" ht="19" customHeight="1">
      <c r="A6" s="18" t="inlineStr">
        <is>
          <t>التاء المربوطة والهاء</t>
        </is>
      </c>
      <c r="B6" s="16" t="n">
        <v>3</v>
      </c>
      <c r="C6" s="19" t="n">
        <v>25</v>
      </c>
      <c r="D6" s="19">
        <f>ROUND(B6*C6/427*100,2)</f>
        <v/>
      </c>
      <c r="E6" s="19">
        <f>ROUND(100/(1+D6/12),0)</f>
        <v/>
      </c>
      <c r="F6" s="19">
        <f>IF(E6&gt;=85,"مُتمكّن",IF(E6&gt;=70,"جيّد",IF(E6&gt;=50,"يحتاج تدريباً","أولويّة تدخّل")))</f>
        <v/>
      </c>
    </row>
    <row r="7" ht="19" customHeight="1">
      <c r="A7" s="15" t="inlineStr">
        <is>
          <t>الألف اللينة (ى/ي)</t>
        </is>
      </c>
      <c r="B7" s="16" t="n">
        <v>2.5</v>
      </c>
      <c r="C7" s="17" t="n">
        <v>8</v>
      </c>
      <c r="D7" s="17">
        <f>ROUND(B7*C7/427*100,2)</f>
        <v/>
      </c>
      <c r="E7" s="17">
        <f>ROUND(100/(1+D7/12),0)</f>
        <v/>
      </c>
      <c r="F7" s="17">
        <f>IF(E7&gt;=85,"مُتمكّن",IF(E7&gt;=70,"جيّد",IF(E7&gt;=50,"يحتاج تدريباً","أولويّة تدخّل")))</f>
        <v/>
      </c>
    </row>
    <row r="8" ht="19" customHeight="1">
      <c r="A8" s="18" t="inlineStr">
        <is>
          <t>الضاد والظاء</t>
        </is>
      </c>
      <c r="B8" s="16" t="n">
        <v>3</v>
      </c>
      <c r="C8" s="19" t="n">
        <v>0</v>
      </c>
      <c r="D8" s="19">
        <f>ROUND(B8*C8/427*100,2)</f>
        <v/>
      </c>
      <c r="E8" s="19">
        <f>ROUND(100/(1+D8/12),0)</f>
        <v/>
      </c>
      <c r="F8" s="19">
        <f>IF(E8&gt;=85,"مُتمكّن",IF(E8&gt;=70,"جيّد",IF(E8&gt;=50,"يحتاج تدريباً","أولويّة تدخّل")))</f>
        <v/>
      </c>
    </row>
    <row r="9" ht="19" customHeight="1">
      <c r="A9" s="15" t="inlineStr">
        <is>
          <t>الهمزة المتوسطة والمتطرفة</t>
        </is>
      </c>
      <c r="B9" s="16" t="n">
        <v>3</v>
      </c>
      <c r="C9" s="17" t="n">
        <v>2</v>
      </c>
      <c r="D9" s="17">
        <f>ROUND(B9*C9/427*100,2)</f>
        <v/>
      </c>
      <c r="E9" s="17">
        <f>ROUND(100/(1+D9/12),0)</f>
        <v/>
      </c>
      <c r="F9" s="17">
        <f>IF(E9&gt;=85,"مُتمكّن",IF(E9&gt;=70,"جيّد",IF(E9&gt;=50,"يحتاج تدريباً","أولويّة تدخّل")))</f>
        <v/>
      </c>
    </row>
    <row r="10" ht="19" customHeight="1">
      <c r="A10" s="18" t="inlineStr">
        <is>
          <t>إملاء شائع</t>
        </is>
      </c>
      <c r="B10" s="16" t="n">
        <v>2.5</v>
      </c>
      <c r="C10" s="19" t="n">
        <v>6</v>
      </c>
      <c r="D10" s="19">
        <f>ROUND(B10*C10/427*100,2)</f>
        <v/>
      </c>
      <c r="E10" s="19">
        <f>ROUND(100/(1+D10/12),0)</f>
        <v/>
      </c>
      <c r="F10" s="19">
        <f>IF(E10&gt;=85,"مُتمكّن",IF(E10&gt;=70,"جيّد",IF(E10&gt;=50,"يحتاج تدريباً","أولويّة تدخّل")))</f>
        <v/>
      </c>
    </row>
    <row r="11" ht="19" customHeight="1">
      <c r="A11" s="15" t="inlineStr">
        <is>
          <t>النحو والإعراب</t>
        </is>
      </c>
      <c r="B11" s="16" t="n">
        <v>4</v>
      </c>
      <c r="C11" s="17" t="n">
        <v>3</v>
      </c>
      <c r="D11" s="17">
        <f>ROUND(B11*C11/427*100,2)</f>
        <v/>
      </c>
      <c r="E11" s="17">
        <f>ROUND(100/(1+D11/12),0)</f>
        <v/>
      </c>
      <c r="F11" s="17">
        <f>IF(E11&gt;=85,"مُتمكّن",IF(E11&gt;=70,"جيّد",IF(E11&gt;=50,"يحتاج تدريباً","أولويّة تدخّل")))</f>
        <v/>
      </c>
    </row>
    <row r="12" ht="19" customHeight="1">
      <c r="A12" s="18" t="inlineStr">
        <is>
          <t>العاميّة</t>
        </is>
      </c>
      <c r="B12" s="16" t="n">
        <v>2</v>
      </c>
      <c r="C12" s="19" t="n">
        <v>10</v>
      </c>
      <c r="D12" s="19">
        <f>ROUND(B12*C12/427*100,2)</f>
        <v/>
      </c>
      <c r="E12" s="19">
        <f>ROUND(100/(1+D12/12),0)</f>
        <v/>
      </c>
      <c r="F12" s="19">
        <f>IF(E12&gt;=85,"مُتمكّن",IF(E12&gt;=70,"جيّد",IF(E12&gt;=50,"يحتاج تدريباً","أولويّة تدخّل")))</f>
        <v/>
      </c>
    </row>
    <row r="13" ht="19" customHeight="1">
      <c r="A13" s="15" t="inlineStr">
        <is>
          <t>الترقيم</t>
        </is>
      </c>
      <c r="B13" s="16" t="n">
        <v>1</v>
      </c>
      <c r="C13" s="17" t="n">
        <v>27</v>
      </c>
      <c r="D13" s="17">
        <f>ROUND(B13*C13/427*100,2)</f>
        <v/>
      </c>
      <c r="E13" s="17">
        <f>ROUND(100/(1+D13/12),0)</f>
        <v/>
      </c>
      <c r="F13" s="17">
        <f>IF(E13&gt;=85,"مُتمكّن",IF(E13&gt;=70,"جيّد",IF(E13&gt;=50,"يحتاج تدريباً","أولويّة تدخّل")))</f>
        <v/>
      </c>
    </row>
    <row r="14" ht="19" customHeight="1">
      <c r="A14" s="18" t="inlineStr">
        <is>
          <t>الأسلوب</t>
        </is>
      </c>
      <c r="B14" s="16" t="n">
        <v>1</v>
      </c>
      <c r="C14" s="19" t="n">
        <v>0</v>
      </c>
      <c r="D14" s="19">
        <f>ROUND(B14*C14/427*100,2)</f>
        <v/>
      </c>
      <c r="E14" s="19">
        <f>ROUND(100/(1+D14/12),0)</f>
        <v/>
      </c>
      <c r="F14" s="19">
        <f>IF(E14&gt;=85,"مُتمكّن",IF(E14&gt;=70,"جيّد",IF(E14&gt;=50,"يحتاج تدريباً","أولويّة تدخّل")))</f>
        <v/>
      </c>
    </row>
    <row r="16" ht="32" customHeight="1">
      <c r="A16" s="20" t="inlineStr">
        <is>
          <t>الخلايا الزرقاء (الوزن) قابلة للتعديل. الكثافة الموزونة = (الوزن × عدد الأخطاء ÷ عدد الكلمات) × 100 · إتقان العائلة = 100 ÷ (1 + الكثافة ÷ 12)</t>
        </is>
      </c>
    </row>
    <row r="18">
      <c r="A18" s="12" t="inlineStr">
        <is>
          <t>إجمالي الكلمات المحلّلة</t>
        </is>
      </c>
      <c r="B18" s="21" t="n">
        <v>427</v>
      </c>
    </row>
    <row r="19">
      <c r="A19" s="12" t="inlineStr">
        <is>
          <t>إجمالي الملاحظات</t>
        </is>
      </c>
      <c r="B19" s="22">
        <f>SUM(C5:C14)</f>
        <v/>
      </c>
    </row>
    <row r="20">
      <c r="A20" s="12" t="inlineStr">
        <is>
          <t>مؤشّر البيان المجمَّع (من الكثافة الكليّة)</t>
        </is>
      </c>
      <c r="B20" s="21">
        <f>ROUND(100/(1+SUM(D5:D14)/30),0)</f>
        <v/>
      </c>
    </row>
  </sheetData>
  <mergeCells count="3">
    <mergeCell ref="A2:F2"/>
    <mergeCell ref="A16:F1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46" customWidth="1" min="3" max="3"/>
  </cols>
  <sheetData>
    <row r="1" ht="26" customHeight="1">
      <c r="A1" s="1" t="inlineStr">
        <is>
          <t>أرقام التشغيل المقاسة</t>
        </is>
      </c>
    </row>
    <row r="2" ht="16" customHeight="1">
      <c r="A2" s="2" t="inlineStr">
        <is>
          <t>قياسات حقيقيّة من داخل التطبيق — تُعاد أمام اللجنة بزرّ «أعد القياس»</t>
        </is>
      </c>
    </row>
    <row r="4" ht="30" customHeight="1">
      <c r="A4" s="3" t="inlineStr">
        <is>
          <t>المؤشّر</t>
        </is>
      </c>
      <c r="B4" s="3" t="inlineStr">
        <is>
          <t>القيمة</t>
        </is>
      </c>
      <c r="C4" s="3" t="inlineStr">
        <is>
          <t>طريقة القياس</t>
        </is>
      </c>
    </row>
    <row r="5" ht="19" customHeight="1">
      <c r="A5" s="4" t="inlineStr">
        <is>
          <t>زمن التحليل (متوسّط 5 تكرارات)</t>
        </is>
      </c>
      <c r="B5" s="5" t="inlineStr">
        <is>
          <t>10.72 مللي ثانية</t>
        </is>
      </c>
      <c r="C5" s="4" t="inlineStr">
        <is>
          <t>لتحليل 8540 كلمة داخل المتصفّح</t>
        </is>
      </c>
    </row>
    <row r="6" ht="19" customHeight="1">
      <c r="A6" s="7" t="inlineStr">
        <is>
          <t>السرعة</t>
        </is>
      </c>
      <c r="B6" s="8" t="inlineStr">
        <is>
          <t>796,642 كلمة/ثانية</t>
        </is>
      </c>
      <c r="C6" s="7" t="inlineStr">
        <is>
          <t>محسوبة من زمن التحليل</t>
        </is>
      </c>
    </row>
    <row r="7" ht="19" customHeight="1">
      <c r="A7" s="4" t="inlineStr">
        <is>
          <t>مدخلات بنوك القواعد</t>
        </is>
      </c>
      <c r="B7" s="5" t="n">
        <v>511</v>
      </c>
      <c r="C7" s="4" t="inlineStr">
        <is>
          <t>إحصاء آليّ لعناصر البنوك العشرة</t>
        </is>
      </c>
    </row>
    <row r="8" ht="19" customHeight="1">
      <c r="A8" s="7" t="inlineStr">
        <is>
          <t>عائلات القواعد</t>
        </is>
      </c>
      <c r="B8" s="8" t="n">
        <v>10</v>
      </c>
      <c r="C8" s="7" t="inlineStr">
        <is>
          <t>مطبَّقة بالكامل في المحرّك</t>
        </is>
      </c>
    </row>
    <row r="9" ht="19" customHeight="1">
      <c r="A9" s="4" t="inlineStr">
        <is>
          <t>الملاحظات المرصودة في عيّنة القياس</t>
        </is>
      </c>
      <c r="B9" s="5" t="n">
        <v>1800</v>
      </c>
      <c r="C9" s="4" t="inlineStr">
        <is>
          <t>على نصّ مكرّر 20 مرّة</t>
        </is>
      </c>
    </row>
    <row r="10" ht="19" customHeight="1">
      <c r="A10" s="7" t="inlineStr">
        <is>
          <t>طلبات الشبكة أثناء التحليل</t>
        </is>
      </c>
      <c r="B10" s="8" t="n">
        <v>0</v>
      </c>
      <c r="C10" s="7" t="inlineStr">
        <is>
          <t>فحص شبكة المتصفّح</t>
        </is>
      </c>
    </row>
    <row r="11" ht="19" customHeight="1">
      <c r="A11" s="4" t="inlineStr">
        <is>
          <t>المكتبات الخارجية</t>
        </is>
      </c>
      <c r="B11" s="5" t="inlineStr">
        <is>
          <t>0 (ما عدا الخطوط)</t>
        </is>
      </c>
      <c r="C11" s="4" t="inlineStr">
        <is>
          <t>مراجعة الكود</t>
        </is>
      </c>
    </row>
    <row r="12" ht="19" customHeight="1">
      <c r="A12" s="7" t="inlineStr">
        <is>
          <t>مفاتيح واجهات برمجية</t>
        </is>
      </c>
      <c r="B12" s="8" t="n">
        <v>0</v>
      </c>
      <c r="C12" s="7" t="inlineStr">
        <is>
          <t>لا يوجد مفتاح في الملفّ</t>
        </is>
      </c>
    </row>
    <row r="13" ht="19" customHeight="1">
      <c r="A13" s="4" t="inlineStr">
        <is>
          <t>الخوادم المطلوبة</t>
        </is>
      </c>
      <c r="B13" s="5" t="n">
        <v>0</v>
      </c>
      <c r="C13" s="4" t="inlineStr">
        <is>
          <t>المعالجة محليّة بالكامل</t>
        </is>
      </c>
    </row>
    <row r="14" ht="19" customHeight="1">
      <c r="A14" s="7" t="inlineStr">
        <is>
          <t>حجم الملفّ</t>
        </is>
      </c>
      <c r="B14" s="8" t="inlineStr">
        <is>
          <t>نحو 85 كيلوبايت</t>
        </is>
      </c>
      <c r="C14" s="7" t="inlineStr">
        <is>
          <t>ملفّ HTML واحد مستقلّ</t>
        </is>
      </c>
    </row>
    <row r="15" ht="19" customHeight="1">
      <c r="A15" s="4" t="inlineStr">
        <is>
          <t>التشغيل دون اتصال</t>
        </is>
      </c>
      <c r="B15" s="5" t="inlineStr">
        <is>
          <t>نعم</t>
        </is>
      </c>
      <c r="C15" s="4" t="inlineStr">
        <is>
          <t>مُختبَر بإيقاف الشبكة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rightToLeft="1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14" customWidth="1" min="4" max="4"/>
  </cols>
  <sheetData>
    <row r="1" ht="26" customHeight="1">
      <c r="A1" s="1" t="inlineStr">
        <is>
          <t>نموذج الأثر — تصوّريّ بافتراضات معلنة</t>
        </is>
      </c>
    </row>
    <row r="2" ht="16" customHeight="1">
      <c r="A2" s="2" t="inlineStr">
        <is>
          <t>عدّل الخلايا الصفراء وستتغيّر كلّ النتائج تلقائياً</t>
        </is>
      </c>
    </row>
    <row r="4" ht="32" customHeight="1">
      <c r="A4" s="14" t="inlineStr">
        <is>
          <t>تنبيه: هذه نمذجة حسابيّة وليست نتيجة تجربة ميدانيّة. لم يُجرَ أيّ قياس على طلبة حقيقيين.</t>
        </is>
      </c>
    </row>
    <row r="6" ht="30" customHeight="1">
      <c r="A6" s="3" t="inlineStr">
        <is>
          <t>الافتراض</t>
        </is>
      </c>
      <c r="B6" s="3" t="inlineStr">
        <is>
          <t>القيمة</t>
        </is>
      </c>
      <c r="C6" s="3" t="inlineStr">
        <is>
          <t>الوحدة</t>
        </is>
      </c>
      <c r="D6" s="3" t="inlineStr">
        <is>
          <t>المصدر</t>
        </is>
      </c>
    </row>
    <row r="7" ht="19" customHeight="1">
      <c r="A7" s="4" t="inlineStr">
        <is>
          <t>عدد معلّمي اللغة العربية</t>
        </is>
      </c>
      <c r="B7" s="11" t="n">
        <v>12</v>
      </c>
      <c r="C7" s="5" t="inlineStr">
        <is>
          <t>معلّم</t>
        </is>
      </c>
      <c r="D7" s="4" t="inlineStr">
        <is>
          <t>تقدير لمدرسة متوسّطة الحجم</t>
        </is>
      </c>
    </row>
    <row r="8" ht="19" customHeight="1">
      <c r="A8" s="7" t="inlineStr">
        <is>
          <t>عدد الشعب لكلّ معلّم</t>
        </is>
      </c>
      <c r="B8" s="11" t="n">
        <v>5</v>
      </c>
      <c r="C8" s="8" t="inlineStr">
        <is>
          <t>شعبة</t>
        </is>
      </c>
      <c r="D8" s="7" t="inlineStr">
        <is>
          <t>تقدير</t>
        </is>
      </c>
    </row>
    <row r="9" ht="19" customHeight="1">
      <c r="A9" s="4" t="inlineStr">
        <is>
          <t>عدد الطلبة في الشعبة</t>
        </is>
      </c>
      <c r="B9" s="11" t="n">
        <v>25</v>
      </c>
      <c r="C9" s="5" t="inlineStr">
        <is>
          <t>طالب</t>
        </is>
      </c>
      <c r="D9" s="4" t="inlineStr">
        <is>
          <t>تقدير</t>
        </is>
      </c>
    </row>
    <row r="10" ht="19" customHeight="1">
      <c r="A10" s="7" t="inlineStr">
        <is>
          <t>النصوص الكتابيّة شهرياً لكلّ طالب</t>
        </is>
      </c>
      <c r="B10" s="11" t="n">
        <v>2</v>
      </c>
      <c r="C10" s="8" t="inlineStr">
        <is>
          <t>نصّ</t>
        </is>
      </c>
      <c r="D10" s="7" t="inlineStr">
        <is>
          <t>تقدير</t>
        </is>
      </c>
    </row>
    <row r="11" ht="19" customHeight="1">
      <c r="A11" s="4" t="inlineStr">
        <is>
          <t>زمن تصحيح النصّ يدويّاً</t>
        </is>
      </c>
      <c r="B11" s="11" t="n">
        <v>4</v>
      </c>
      <c r="C11" s="5" t="inlineStr">
        <is>
          <t>دقيقة</t>
        </is>
      </c>
      <c r="D11" s="4" t="inlineStr">
        <is>
          <t>تقدير معلن — غير مقاس</t>
        </is>
      </c>
    </row>
    <row r="12" ht="19" customHeight="1">
      <c r="A12" s="7" t="inlineStr">
        <is>
          <t>نسبة اختصار زمن الفرز</t>
        </is>
      </c>
      <c r="B12" s="11" t="n">
        <v>0.55</v>
      </c>
      <c r="C12" s="8" t="inlineStr">
        <is>
          <t>نسبة</t>
        </is>
      </c>
      <c r="D12" s="7" t="inlineStr">
        <is>
          <t>تقدير معلن — غير مقاس</t>
        </is>
      </c>
    </row>
    <row r="13" ht="19" customHeight="1">
      <c r="A13" s="4" t="inlineStr">
        <is>
          <t>عدد الأشهر الدراسيّة</t>
        </is>
      </c>
      <c r="B13" s="23" t="n">
        <v>9</v>
      </c>
      <c r="C13" s="5" t="inlineStr">
        <is>
          <t>شهر</t>
        </is>
      </c>
      <c r="D13" s="4" t="inlineStr">
        <is>
          <t>التقويم المدرسيّ</t>
        </is>
      </c>
    </row>
    <row r="14" ht="19" customHeight="1">
      <c r="A14" s="7" t="inlineStr">
        <is>
          <t>تكلفة ساعة المعلّم</t>
        </is>
      </c>
      <c r="B14" s="11" t="n">
        <v>60</v>
      </c>
      <c r="C14" s="8" t="inlineStr">
        <is>
          <t>د.إ</t>
        </is>
      </c>
      <c r="D14" s="7" t="inlineStr">
        <is>
          <t>افتراض تقديريّ</t>
        </is>
      </c>
    </row>
    <row r="17" ht="30" customHeight="1">
      <c r="A17" s="3" t="inlineStr">
        <is>
          <t>الناتج</t>
        </is>
      </c>
      <c r="B17" s="3" t="inlineStr">
        <is>
          <t>الحساب</t>
        </is>
      </c>
      <c r="C17" s="3" t="inlineStr">
        <is>
          <t>القيمة</t>
        </is>
      </c>
      <c r="D17" s="3" t="inlineStr">
        <is>
          <t>الوحدة</t>
        </is>
      </c>
    </row>
    <row r="18" ht="19" customHeight="1">
      <c r="A18" s="4" t="inlineStr">
        <is>
          <t>النصوص شهرياً لكلّ معلّم</t>
        </is>
      </c>
      <c r="B18" s="4" t="inlineStr">
        <is>
          <t>الشعب × الطلبة × النصوص</t>
        </is>
      </c>
      <c r="C18" s="24">
        <f>B8*B9*B10</f>
        <v/>
      </c>
      <c r="D18" s="5" t="inlineStr">
        <is>
          <t>نصّ</t>
        </is>
      </c>
    </row>
    <row r="19" ht="19" customHeight="1">
      <c r="A19" s="7" t="inlineStr">
        <is>
          <t>دقائق التصحيح شهرياً</t>
        </is>
      </c>
      <c r="B19" s="7" t="inlineStr">
        <is>
          <t>النصوص × زمن التصحيح</t>
        </is>
      </c>
      <c r="C19" s="24">
        <f>C18*B11</f>
        <v/>
      </c>
      <c r="D19" s="8" t="inlineStr">
        <is>
          <t>دقيقة</t>
        </is>
      </c>
    </row>
    <row r="20" ht="19" customHeight="1">
      <c r="A20" s="4" t="inlineStr">
        <is>
          <t>الساعات الموفَّرة شهرياً / معلّم</t>
        </is>
      </c>
      <c r="B20" s="4" t="inlineStr">
        <is>
          <t>الدقائق × نسبة الاختصار ÷ 60</t>
        </is>
      </c>
      <c r="C20" s="24">
        <f>ROUND(C19*B12/60,1)</f>
        <v/>
      </c>
      <c r="D20" s="5" t="inlineStr">
        <is>
          <t>ساعة</t>
        </is>
      </c>
    </row>
    <row r="21" ht="19" customHeight="1">
      <c r="A21" s="7" t="inlineStr">
        <is>
          <t>الساعات الموفَّرة سنويّاً / المدرسة</t>
        </is>
      </c>
      <c r="B21" s="7" t="inlineStr">
        <is>
          <t>الساعات × المعلّمون × الأشهر</t>
        </is>
      </c>
      <c r="C21" s="24">
        <f>ROUND(C20*B7*B13,0)</f>
        <v/>
      </c>
      <c r="D21" s="8" t="inlineStr">
        <is>
          <t>ساعة</t>
        </is>
      </c>
    </row>
    <row r="22" ht="19" customHeight="1">
      <c r="A22" s="4" t="inlineStr">
        <is>
          <t>القيمة الزمنيّة المستردّة سنويّاً</t>
        </is>
      </c>
      <c r="B22" s="4" t="inlineStr">
        <is>
          <t>الساعات السنويّة × تكلفة الساعة</t>
        </is>
      </c>
      <c r="C22" s="25">
        <f>C21*B14</f>
        <v/>
      </c>
      <c r="D22" s="5" t="inlineStr">
        <is>
          <t>د.إ</t>
        </is>
      </c>
    </row>
    <row r="23" ht="19" customHeight="1">
      <c r="A23" s="7" t="inlineStr">
        <is>
          <t>تكلفة تشغيل مُبين سنويّاً</t>
        </is>
      </c>
      <c r="B23" s="7" t="inlineStr">
        <is>
          <t>لا خوادم ولا اشتراكات ولا أجهزة</t>
        </is>
      </c>
      <c r="C23" s="24" t="n">
        <v>0</v>
      </c>
      <c r="D23" s="8" t="inlineStr">
        <is>
          <t>د.إ</t>
        </is>
      </c>
    </row>
    <row r="25" ht="32" customHeight="1">
      <c r="A25" s="26" t="inlineStr">
        <is>
          <t>ما سنقيسه فعلاً في المرحلة الثانية: عدد الأخطاء لكلّ 100 كلمة قبل/بعد 6 أسابيع · نسبة تسرّب العاميّة · زمن التصحيح الفعليّ · تكرار الخطأ نفسه — وكلّه بموافقة رسميّة من المدرسة وأولياء الأمور.</t>
        </is>
      </c>
    </row>
  </sheetData>
  <mergeCells count="4">
    <mergeCell ref="A1:D1"/>
    <mergeCell ref="A4:D4"/>
    <mergeCell ref="A25:D25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16" customWidth="1" min="3" max="3"/>
    <col width="12" customWidth="1" min="4" max="4"/>
  </cols>
  <sheetData>
    <row r="1" ht="26" customHeight="1">
      <c r="A1" s="1" t="inlineStr">
        <is>
          <t>قائمة التحقّق النهائيّة — يوم المعرض</t>
        </is>
      </c>
    </row>
    <row r="2" ht="16" customHeight="1">
      <c r="A2" s="2" t="inlineStr">
        <is>
          <t>علّم ✔ في عمود الحالة · مرجعها دليل المشاركين</t>
        </is>
      </c>
    </row>
    <row r="4" ht="30" customHeight="1">
      <c r="A4" s="3" t="inlineStr">
        <is>
          <t>القسم</t>
        </is>
      </c>
      <c r="B4" s="3" t="inlineStr">
        <is>
          <t>البند</t>
        </is>
      </c>
      <c r="C4" s="3" t="inlineStr">
        <is>
          <t>المسؤول</t>
        </is>
      </c>
      <c r="D4" s="3" t="inlineStr">
        <is>
          <t>الحالة</t>
        </is>
      </c>
    </row>
    <row r="5" ht="19" customHeight="1">
      <c r="A5" s="5" t="inlineStr">
        <is>
          <t>المحتوى</t>
        </is>
      </c>
      <c r="B5" s="4" t="inlineStr">
        <is>
          <t>اسم المشروع واسم المدرسة مكتوبان بوضوح يُقرأ من بعد</t>
        </is>
      </c>
      <c r="C5" s="5" t="inlineStr">
        <is>
          <t>غيث صادق</t>
        </is>
      </c>
      <c r="D5" s="27" t="inlineStr"/>
    </row>
    <row r="6" ht="19" customHeight="1">
      <c r="A6" s="8" t="inlineStr">
        <is>
          <t>المحتوى</t>
        </is>
      </c>
      <c r="B6" s="7" t="inlineStr">
        <is>
          <t>قصّة المشروع مختصرة: المشكلة، الحلّ، آليّة العمل، الأثر، الخطوة التالية</t>
        </is>
      </c>
      <c r="C6" s="8" t="inlineStr">
        <is>
          <t>غيث صادق</t>
        </is>
      </c>
      <c r="D6" s="27" t="inlineStr"/>
    </row>
    <row r="7" ht="19" customHeight="1">
      <c r="A7" s="5" t="inlineStr">
        <is>
          <t>المحتوى</t>
        </is>
      </c>
      <c r="B7" s="4" t="inlineStr">
        <is>
          <t>النموذج جاهز للتجربة ومفتوح على الشاشة الصحيحة</t>
        </is>
      </c>
      <c r="C7" s="5" t="inlineStr">
        <is>
          <t>أحمد حمد</t>
        </is>
      </c>
      <c r="D7" s="27" t="inlineStr"/>
    </row>
    <row r="8" ht="19" customHeight="1">
      <c r="A8" s="8" t="inlineStr">
        <is>
          <t>المحتوى</t>
        </is>
      </c>
      <c r="B8" s="7" t="inlineStr">
        <is>
          <t>العرض المرئيّ مختصر وواضح وخطوطه كبيرة</t>
        </is>
      </c>
      <c r="C8" s="8" t="inlineStr">
        <is>
          <t>أحمد حمد</t>
        </is>
      </c>
      <c r="D8" s="27" t="inlineStr"/>
    </row>
    <row r="9" ht="19" customHeight="1">
      <c r="A9" s="5" t="inlineStr">
        <is>
          <t>المحتوى</t>
        </is>
      </c>
      <c r="B9" s="4" t="inlineStr">
        <is>
          <t>نسخة احتياطيّة تعمل دون إنترنت على وحدة تخزين</t>
        </is>
      </c>
      <c r="C9" s="5" t="inlineStr">
        <is>
          <t>غيث صادق</t>
        </is>
      </c>
      <c r="D9" s="27" t="inlineStr"/>
    </row>
    <row r="10" ht="19" customHeight="1">
      <c r="A10" s="8" t="inlineStr">
        <is>
          <t>المحتوى</t>
        </is>
      </c>
      <c r="B10" s="7" t="inlineStr">
        <is>
          <t>أرقام الأثر مصحوبة بتنبيه أنّها تصوّريّة في كلّ مرّة تُذكَر</t>
        </is>
      </c>
      <c r="C10" s="8" t="inlineStr">
        <is>
          <t>تيم عامر</t>
        </is>
      </c>
      <c r="D10" s="27" t="inlineStr"/>
    </row>
    <row r="11" ht="19" customHeight="1">
      <c r="A11" s="5" t="inlineStr">
        <is>
          <t>التجهيزات</t>
        </is>
      </c>
      <c r="B11" s="4" t="inlineStr">
        <is>
          <t>الجهاز والشاشة ووحدة التخزين جاهزة ومُجرَّبة</t>
        </is>
      </c>
      <c r="C11" s="5" t="inlineStr">
        <is>
          <t>أحمد حمد</t>
        </is>
      </c>
      <c r="D11" s="27" t="inlineStr"/>
    </row>
    <row r="12" ht="19" customHeight="1">
      <c r="A12" s="8" t="inlineStr">
        <is>
          <t>التجهيزات</t>
        </is>
      </c>
      <c r="B12" s="7" t="inlineStr">
        <is>
          <t>التوصيلات والمحوّلات متوفّرة ومُتأكَّد منها بعد التجربة</t>
        </is>
      </c>
      <c r="C12" s="8" t="inlineStr">
        <is>
          <t>أحمد حمد</t>
        </is>
      </c>
      <c r="D12" s="27" t="inlineStr"/>
    </row>
    <row r="13" ht="19" customHeight="1">
      <c r="A13" s="5" t="inlineStr">
        <is>
          <t>التجهيزات</t>
        </is>
      </c>
      <c r="B13" s="4" t="inlineStr">
        <is>
          <t>المواد التفاعليّة آمنة ومنظَّمة</t>
        </is>
      </c>
      <c r="C13" s="5" t="inlineStr">
        <is>
          <t>أحمد حمد</t>
        </is>
      </c>
      <c r="D13" s="27" t="inlineStr"/>
    </row>
    <row r="14" ht="19" customHeight="1">
      <c r="A14" s="8" t="inlineStr">
        <is>
          <t>التجهيزات</t>
        </is>
      </c>
      <c r="B14" s="7" t="inlineStr">
        <is>
          <t>لا توجد مواد تحجب الشاشة أو تعيق الممرّ</t>
        </is>
      </c>
      <c r="C14" s="8" t="inlineStr">
        <is>
          <t>أحمد حمد</t>
        </is>
      </c>
      <c r="D14" s="27" t="inlineStr"/>
    </row>
    <row r="15" ht="19" customHeight="1">
      <c r="A15" s="5" t="inlineStr">
        <is>
          <t>الشاشة</t>
        </is>
      </c>
      <c r="B15" s="4" t="inlineStr">
        <is>
          <t>الملفّ يُفتح من القرص المحليّ لا من رابط، ويعمل مع إيقاف الشبكة</t>
        </is>
      </c>
      <c r="C15" s="5" t="inlineStr">
        <is>
          <t>أحمد حمد</t>
        </is>
      </c>
      <c r="D15" s="27" t="inlineStr"/>
    </row>
    <row r="16" ht="19" customHeight="1">
      <c r="A16" s="8" t="inlineStr">
        <is>
          <t>الشاشة</t>
        </is>
      </c>
      <c r="B16" s="7" t="inlineStr">
        <is>
          <t>حجم العرض مرفوع إلى 115–130% ليُقرأ من الصفوف الخلفيّة</t>
        </is>
      </c>
      <c r="C16" s="8" t="inlineStr">
        <is>
          <t>أحمد حمد</t>
        </is>
      </c>
      <c r="D16" s="27" t="inlineStr"/>
    </row>
    <row r="17" ht="19" customHeight="1">
      <c r="A17" s="5" t="inlineStr">
        <is>
          <t>الشاشة</t>
        </is>
      </c>
      <c r="B17" s="4" t="inlineStr">
        <is>
          <t>وضع العرض النظيف مُفعَّل أثناء التحكيم</t>
        </is>
      </c>
      <c r="C17" s="5" t="inlineStr">
        <is>
          <t>أحمد حمد</t>
        </is>
      </c>
      <c r="D17" s="27" t="inlineStr"/>
    </row>
    <row r="18" ht="19" customHeight="1">
      <c r="A18" s="8" t="inlineStr">
        <is>
          <t>الشاشة</t>
        </is>
      </c>
      <c r="B18" s="7" t="inlineStr">
        <is>
          <t>الإشعارات والرسائل الشخصيّة موقوفة تماماً</t>
        </is>
      </c>
      <c r="C18" s="8" t="inlineStr">
        <is>
          <t>أحمد حمد</t>
        </is>
      </c>
      <c r="D18" s="27" t="inlineStr"/>
    </row>
    <row r="19" ht="19" customHeight="1">
      <c r="A19" s="5" t="inlineStr">
        <is>
          <t>الشاشة</t>
        </is>
      </c>
      <c r="B19" s="4" t="inlineStr">
        <is>
          <t>البيانات التجريبيّة أُعيد ضبطها لتبدأ من صفحة نظيفة</t>
        </is>
      </c>
      <c r="C19" s="5" t="inlineStr">
        <is>
          <t>أحمد حمد</t>
        </is>
      </c>
      <c r="D19" s="27" t="inlineStr"/>
    </row>
    <row r="20" ht="19" customHeight="1">
      <c r="A20" s="8" t="inlineStr">
        <is>
          <t>الفريق</t>
        </is>
      </c>
      <c r="B20" s="7" t="inlineStr">
        <is>
          <t>الأدوار موزّعة وخطّة التناوب واضحة ومكتوبة</t>
        </is>
      </c>
      <c r="C20" s="8" t="inlineStr">
        <is>
          <t>غيث صادق</t>
        </is>
      </c>
      <c r="D20" s="27" t="inlineStr"/>
    </row>
    <row r="21" ht="19" customHeight="1">
      <c r="A21" s="5" t="inlineStr">
        <is>
          <t>الفريق</t>
        </is>
      </c>
      <c r="B21" s="4" t="inlineStr">
        <is>
          <t>كلّ عضو يستطيع تقديم تعريف 30 ثانية وحده</t>
        </is>
      </c>
      <c r="C21" s="5" t="inlineStr">
        <is>
          <t>الجميع</t>
        </is>
      </c>
      <c r="D21" s="27" t="inlineStr"/>
    </row>
    <row r="22" ht="19" customHeight="1">
      <c r="A22" s="8" t="inlineStr">
        <is>
          <t>الفريق</t>
        </is>
      </c>
      <c r="B22" s="7" t="inlineStr">
        <is>
          <t>تمّ التدريب على الأسئلة الصعبة وعلى خطّة تعطّل النموذج</t>
        </is>
      </c>
      <c r="C22" s="8" t="inlineStr">
        <is>
          <t>الجميع</t>
        </is>
      </c>
      <c r="D22" s="27" t="inlineStr"/>
    </row>
    <row r="23" ht="19" customHeight="1">
      <c r="A23" s="5" t="inlineStr">
        <is>
          <t>الفريق</t>
        </is>
      </c>
      <c r="B23" s="4" t="inlineStr">
        <is>
          <t>المشرف يملك نسخة من البرنامج وأرقام التواصل التنظيميّة</t>
        </is>
      </c>
      <c r="C23" s="5" t="inlineStr">
        <is>
          <t>المشرف</t>
        </is>
      </c>
      <c r="D23" s="27" t="inlineStr"/>
    </row>
    <row r="24" ht="19" customHeight="1">
      <c r="A24" s="8" t="inlineStr">
        <is>
          <t>الفريق</t>
        </is>
      </c>
      <c r="B24" s="7" t="inlineStr">
        <is>
          <t>الالتزام بالزيّ المدرسيّ المعتمد وبطاقات التعريف</t>
        </is>
      </c>
      <c r="C24" s="8" t="inlineStr">
        <is>
          <t>الجميع</t>
        </is>
      </c>
      <c r="D24" s="27" t="inlineStr"/>
    </row>
    <row r="25" ht="19" customHeight="1">
      <c r="A25" s="5" t="inlineStr">
        <is>
          <t>التشبيك</t>
        </is>
      </c>
      <c r="B25" s="4" t="inlineStr">
        <is>
          <t>دفتر تسجيل الجهات والأسئلة جاهز</t>
        </is>
      </c>
      <c r="C25" s="5" t="inlineStr">
        <is>
          <t>تيم عامر</t>
        </is>
      </c>
      <c r="D25" s="27" t="inlineStr"/>
    </row>
    <row r="26" ht="19" customHeight="1">
      <c r="A26" s="8" t="inlineStr">
        <is>
          <t>التشبيك</t>
        </is>
      </c>
      <c r="B26" s="7" t="inlineStr">
        <is>
          <t>نقاط الحديث مع ممثّل Microsoft مُراجَعة</t>
        </is>
      </c>
      <c r="C26" s="8" t="inlineStr">
        <is>
          <t>غيث صادق</t>
        </is>
      </c>
      <c r="D26" s="27" t="inlineStr"/>
    </row>
    <row r="27" ht="19" customHeight="1">
      <c r="A27" s="5" t="inlineStr">
        <is>
          <t>التشبيك</t>
        </is>
      </c>
      <c r="B27" s="4" t="inlineStr">
        <is>
          <t>الجملة الإعلاميّة (15–20 ثانية) محفوظة لدى الجميع</t>
        </is>
      </c>
      <c r="C27" s="5" t="inlineStr">
        <is>
          <t>الجميع</t>
        </is>
      </c>
      <c r="D27" s="27" t="inlineStr"/>
    </row>
    <row r="29" ht="32" customHeight="1">
      <c r="A29" s="28" t="inlineStr">
        <is>
          <t>القاعدة الواحدة: زائر يكتب جملته بنفسه ويرى تشخيصها، أثره أقوى من عشر دقائق شرح. لا تشرح مُبين — شغّلها.</t>
        </is>
      </c>
    </row>
  </sheetData>
  <mergeCells count="3">
    <mergeCell ref="A1:D1"/>
    <mergeCell ref="A29:D29"/>
    <mergeCell ref="A2:D2"/>
  </mergeCells>
  <dataValidations count="1">
    <dataValidation sqref="D5:D27" showDropDown="0" showInputMessage="0" showErrorMessage="0" allowBlank="1" type="list">
      <formula1>"✔,—"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2026-10-08T06:26:44Z</dcterms:created>
  <dcterms:modified xmlns:dcterms="http://purl.org/dc/terms/" xmlns:xsi="http://www.w3.org/2001/XMLSchema-instance" xsi:type="dcterms:W3CDTF">2026-10-08T06:26:44Z</dcterms:modified>
</cp:coreProperties>
</file>